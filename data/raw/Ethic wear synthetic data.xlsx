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24B57912-A496-4BB8-877C-67B78E19C03F}" xr6:coauthVersionLast="47" xr6:coauthVersionMax="47" xr10:uidLastSave="{00000000-0000-0000-0000-000000000000}"/>
  <bookViews>
    <workbookView xWindow="-118" yWindow="-118" windowWidth="25370" windowHeight="15945" xr2:uid="{BC5CC727-6D34-40E4-842F-148C9687B4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2" i="1"/>
  <c r="I3" i="1"/>
  <c r="I4" i="1"/>
  <c r="I5" i="1"/>
  <c r="I6" i="1"/>
  <c r="I7" i="1"/>
  <c r="I8" i="1"/>
  <c r="I9" i="1"/>
  <c r="I10" i="1"/>
  <c r="I11" i="1"/>
  <c r="I12" i="1"/>
  <c r="I13" i="1"/>
  <c r="I2" i="1"/>
  <c r="H3" i="1"/>
  <c r="H4" i="1"/>
  <c r="H5" i="1"/>
  <c r="H6" i="1"/>
  <c r="H7" i="1"/>
  <c r="H8" i="1"/>
  <c r="H9" i="1"/>
  <c r="H10" i="1"/>
  <c r="H11" i="1"/>
  <c r="H12" i="1"/>
  <c r="H13" i="1"/>
  <c r="H2" i="1"/>
  <c r="G3" i="1"/>
  <c r="G4" i="1"/>
  <c r="G5" i="1"/>
  <c r="G6" i="1"/>
  <c r="G7" i="1"/>
  <c r="G8" i="1"/>
  <c r="G9" i="1"/>
  <c r="G10" i="1"/>
  <c r="G11" i="1"/>
  <c r="G12" i="1"/>
  <c r="G13" i="1"/>
  <c r="G2" i="1"/>
</calcChain>
</file>

<file path=xl/sharedStrings.xml><?xml version="1.0" encoding="utf-8"?>
<sst xmlns="http://schemas.openxmlformats.org/spreadsheetml/2006/main" count="22" uniqueCount="17">
  <si>
    <t>Date</t>
  </si>
  <si>
    <t>Day</t>
  </si>
  <si>
    <t xml:space="preserve">Bills Issued </t>
  </si>
  <si>
    <t xml:space="preserve">Footfall </t>
  </si>
  <si>
    <t>Qty</t>
  </si>
  <si>
    <t>Sales</t>
  </si>
  <si>
    <t>Conversion Rate</t>
  </si>
  <si>
    <t>Average Transactional Value</t>
  </si>
  <si>
    <t>Average Selling Price</t>
  </si>
  <si>
    <t>Unit Per Transaction</t>
  </si>
  <si>
    <t>Saturday</t>
  </si>
  <si>
    <t>Sunday</t>
  </si>
  <si>
    <t>Monday</t>
  </si>
  <si>
    <t>Tuesday</t>
  </si>
  <si>
    <t>Wednesday</t>
  </si>
  <si>
    <t>Thursday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</si>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</sst>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 &quot;₹&quot;\ * #,##0.00_ ;_ &quot;₹&quot;\ * \-#,##0.00_ ;_ &quot;₹&quot;\ * &quot;-&quot;??_ ;_ @_ "/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44" fontId="0" fillId="0" borderId="0" xfId="1" applyFont="1"/>
    <xf numFmtId="4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2">
    <cellStyle name="Currency" xfId="1" builtinId="4"/>
    <cellStyle name="Normal" xfId="0" builtinId="0"/>
  </cellStyles>
  <dxfs count="6">
    <dxf>
      <numFmt numFmtId="2" formatCode="0.00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d/mm/yyyy"/>
    </dxf>
  </dxfs>
  <tableStyles count="1" defaultTableStyle="TableStyleMedium2" defaultPivotStyle="PivotStyleLight16">
    <tableStyle name="Invisible" pivot="0" table="0" count="0" xr9:uid="{A2FB0109-2437-408E-8A58-BD92039EA71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B6364E-10E6-4F7C-9549-1773B4B7FC92}" name="GAUR_Sales" displayName="GAUR_Sales" ref="A1:J13" totalsRowShown="0">
  <autoFilter ref="A1:J13" xr:uid="{34B6364E-10E6-4F7C-9549-1773B4B7FC92}"/>
  <tableColumns count="10">
    <tableColumn id="1" xr3:uid="{88502C04-5217-46C1-B9F7-8D0072EB040E}" name="Date" dataDxfId="5"/>
    <tableColumn id="2" xr3:uid="{BA797AAD-5A72-4945-B0FF-9A2C33890DB3}" name="Day"/>
    <tableColumn id="3" xr3:uid="{0985F86E-3B3E-4A34-9DDA-94AF54C778F6}" name="Bills Issued "/>
    <tableColumn id="4" xr3:uid="{7CC2602B-ECC7-4D17-A683-4454763BE16D}" name="Footfall "/>
    <tableColumn id="5" xr3:uid="{AE8ECD52-1C74-4FF0-AF11-C3ABC9D7D9D8}" name="Qty"/>
    <tableColumn id="6" xr3:uid="{505D4806-020A-4FB3-9890-9C09C9728D93}" name="Sales" dataDxfId="4" dataCellStyle="Currency"/>
    <tableColumn id="7" xr3:uid="{7820EBC4-FAA5-4BAA-BB86-26C4C5F964BD}" name="Conversion Rate" dataDxfId="3">
      <calculatedColumnFormula>C2/D2*100</calculatedColumnFormula>
    </tableColumn>
    <tableColumn id="8" xr3:uid="{887B8273-1588-400B-BCB9-966EEB8C4893}" name="Average Transactional Value" dataDxfId="2">
      <calculatedColumnFormula>F2/C2</calculatedColumnFormula>
    </tableColumn>
    <tableColumn id="9" xr3:uid="{8C77DEED-EA02-4852-9B3E-D3A584CD55F6}" name="Average Selling Price" dataDxfId="1">
      <calculatedColumnFormula>F2/E2</calculatedColumnFormula>
    </tableColumn>
    <tableColumn id="10" xr3:uid="{E6FD11AC-691F-4C56-B1F2-1CA12051E81C}" name="Unit Per Transaction" dataDxfId="0">
      <calculatedColumnFormula>E2/C2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5A85A-0C90-4E56-A789-274D1C09DA63}">
  <dimension ref="A1:J13"/>
  <sheetViews>
    <sheetView tabSelected="1" workbookViewId="0">
      <selection activeCell="G23" sqref="G23"/>
    </sheetView>
  </sheetViews>
  <sheetFormatPr defaultRowHeight="15.05" x14ac:dyDescent="0.3"/>
  <cols>
    <col min="1" max="1" width="10.88671875" customWidth="1"/>
    <col min="2" max="2" width="9.88671875" bestFit="1" customWidth="1"/>
    <col min="3" max="3" width="12.109375" customWidth="1"/>
    <col min="4" max="4" width="9" customWidth="1"/>
    <col min="6" max="6" width="12.33203125" style="2" bestFit="1" customWidth="1"/>
    <col min="7" max="7" width="15.6640625" customWidth="1"/>
    <col min="8" max="8" width="24.6640625" customWidth="1"/>
    <col min="9" max="9" width="19.109375" customWidth="1"/>
    <col min="10" max="10" width="18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46144</v>
      </c>
      <c r="B2" t="s">
        <v>10</v>
      </c>
      <c r="C2">
        <v>29</v>
      </c>
      <c r="D2">
        <v>33</v>
      </c>
      <c r="E2">
        <v>43</v>
      </c>
      <c r="F2" s="2">
        <v>162000</v>
      </c>
      <c r="G2" s="5">
        <f>C2/D2*100</f>
        <v>87.878787878787875</v>
      </c>
      <c r="H2" s="3">
        <f>F2/C2</f>
        <v>5586.2068965517237</v>
      </c>
      <c r="I2" s="3">
        <f>F2/E2</f>
        <v>3767.4418604651164</v>
      </c>
      <c r="J2" s="4">
        <f>E2/C2</f>
        <v>1.4827586206896552</v>
      </c>
    </row>
    <row r="3" spans="1:10" x14ac:dyDescent="0.3">
      <c r="A3" s="1">
        <v>46145</v>
      </c>
      <c r="B3" t="s">
        <v>11</v>
      </c>
      <c r="C3">
        <v>18</v>
      </c>
      <c r="D3">
        <v>25</v>
      </c>
      <c r="E3">
        <v>36</v>
      </c>
      <c r="F3" s="2">
        <v>152000</v>
      </c>
      <c r="G3" s="5">
        <f t="shared" ref="G3:G13" si="0">C3/D3*100</f>
        <v>72</v>
      </c>
      <c r="H3" s="3">
        <f t="shared" ref="H3:H13" si="1">F3/C3</f>
        <v>8444.4444444444453</v>
      </c>
      <c r="I3" s="3">
        <f t="shared" ref="I3:I13" si="2">F3/E3</f>
        <v>4222.2222222222226</v>
      </c>
      <c r="J3" s="4">
        <f t="shared" ref="J3:J13" si="3">E3/C3</f>
        <v>2</v>
      </c>
    </row>
    <row r="4" spans="1:10" x14ac:dyDescent="0.3">
      <c r="A4" s="1">
        <v>46146</v>
      </c>
      <c r="B4" t="s">
        <v>12</v>
      </c>
      <c r="C4">
        <v>12</v>
      </c>
      <c r="D4">
        <v>16</v>
      </c>
      <c r="E4">
        <v>16</v>
      </c>
      <c r="F4" s="2">
        <v>47000</v>
      </c>
      <c r="G4" s="5">
        <f t="shared" si="0"/>
        <v>75</v>
      </c>
      <c r="H4" s="3">
        <f t="shared" si="1"/>
        <v>3916.6666666666665</v>
      </c>
      <c r="I4" s="3">
        <f t="shared" si="2"/>
        <v>2937.5</v>
      </c>
      <c r="J4" s="4">
        <f t="shared" si="3"/>
        <v>1.3333333333333333</v>
      </c>
    </row>
    <row r="5" spans="1:10" x14ac:dyDescent="0.3">
      <c r="A5" s="1">
        <v>46147</v>
      </c>
      <c r="B5" t="s">
        <v>13</v>
      </c>
      <c r="C5">
        <v>14</v>
      </c>
      <c r="D5">
        <v>17</v>
      </c>
      <c r="E5">
        <v>22</v>
      </c>
      <c r="F5" s="2">
        <v>97000</v>
      </c>
      <c r="G5" s="5">
        <f t="shared" si="0"/>
        <v>82.35294117647058</v>
      </c>
      <c r="H5" s="3">
        <f t="shared" si="1"/>
        <v>6928.5714285714284</v>
      </c>
      <c r="I5" s="3">
        <f t="shared" si="2"/>
        <v>4409.090909090909</v>
      </c>
      <c r="J5" s="4">
        <f t="shared" si="3"/>
        <v>1.5714285714285714</v>
      </c>
    </row>
    <row r="6" spans="1:10" x14ac:dyDescent="0.3">
      <c r="A6" s="1">
        <v>46148</v>
      </c>
      <c r="B6" t="s">
        <v>14</v>
      </c>
      <c r="C6">
        <v>12</v>
      </c>
      <c r="D6">
        <v>15</v>
      </c>
      <c r="E6">
        <v>22</v>
      </c>
      <c r="F6" s="2">
        <v>93000</v>
      </c>
      <c r="G6" s="5">
        <f t="shared" si="0"/>
        <v>80</v>
      </c>
      <c r="H6" s="3">
        <f t="shared" si="1"/>
        <v>7750</v>
      </c>
      <c r="I6" s="3">
        <f t="shared" si="2"/>
        <v>4227.272727272727</v>
      </c>
      <c r="J6" s="4">
        <f t="shared" si="3"/>
        <v>1.8333333333333333</v>
      </c>
    </row>
    <row r="7" spans="1:10" x14ac:dyDescent="0.3">
      <c r="A7" s="1">
        <v>46149</v>
      </c>
      <c r="B7" t="s">
        <v>15</v>
      </c>
      <c r="C7">
        <v>12</v>
      </c>
      <c r="D7">
        <v>15</v>
      </c>
      <c r="E7">
        <v>19</v>
      </c>
      <c r="F7" s="2">
        <v>89000</v>
      </c>
      <c r="G7" s="5">
        <f t="shared" si="0"/>
        <v>80</v>
      </c>
      <c r="H7" s="3">
        <f t="shared" si="1"/>
        <v>7416.666666666667</v>
      </c>
      <c r="I7" s="3">
        <f t="shared" si="2"/>
        <v>4684.2105263157891</v>
      </c>
      <c r="J7" s="4">
        <f t="shared" si="3"/>
        <v>1.5833333333333333</v>
      </c>
    </row>
    <row r="8" spans="1:10" x14ac:dyDescent="0.3">
      <c r="A8" s="1">
        <v>46150</v>
      </c>
      <c r="B8" t="s">
        <v>16</v>
      </c>
      <c r="C8">
        <v>12</v>
      </c>
      <c r="D8">
        <v>15</v>
      </c>
      <c r="E8">
        <v>19</v>
      </c>
      <c r="F8" s="2">
        <v>88640</v>
      </c>
      <c r="G8" s="5">
        <f t="shared" si="0"/>
        <v>80</v>
      </c>
      <c r="H8" s="3">
        <f t="shared" si="1"/>
        <v>7386.666666666667</v>
      </c>
      <c r="I8" s="3">
        <f t="shared" si="2"/>
        <v>4665.2631578947367</v>
      </c>
      <c r="J8" s="4">
        <f t="shared" si="3"/>
        <v>1.5833333333333333</v>
      </c>
    </row>
    <row r="9" spans="1:10" x14ac:dyDescent="0.3">
      <c r="A9" s="1">
        <v>46151</v>
      </c>
      <c r="B9" t="s">
        <v>10</v>
      </c>
      <c r="C9">
        <v>29</v>
      </c>
      <c r="D9">
        <v>34</v>
      </c>
      <c r="E9">
        <v>53</v>
      </c>
      <c r="F9" s="2">
        <v>281000</v>
      </c>
      <c r="G9" s="5">
        <f t="shared" si="0"/>
        <v>85.294117647058826</v>
      </c>
      <c r="H9" s="3">
        <f t="shared" si="1"/>
        <v>9689.6551724137935</v>
      </c>
      <c r="I9" s="3">
        <f t="shared" si="2"/>
        <v>5301.8867924528304</v>
      </c>
      <c r="J9" s="4">
        <f t="shared" si="3"/>
        <v>1.8275862068965518</v>
      </c>
    </row>
    <row r="10" spans="1:10" x14ac:dyDescent="0.3">
      <c r="A10" s="1">
        <v>46152</v>
      </c>
      <c r="B10" t="s">
        <v>11</v>
      </c>
      <c r="C10">
        <v>45</v>
      </c>
      <c r="D10">
        <v>54</v>
      </c>
      <c r="E10">
        <v>63</v>
      </c>
      <c r="F10" s="2">
        <v>249000</v>
      </c>
      <c r="G10" s="5">
        <f t="shared" si="0"/>
        <v>83.333333333333343</v>
      </c>
      <c r="H10" s="3">
        <f t="shared" si="1"/>
        <v>5533.333333333333</v>
      </c>
      <c r="I10" s="3">
        <f t="shared" si="2"/>
        <v>3952.3809523809523</v>
      </c>
      <c r="J10" s="4">
        <f t="shared" si="3"/>
        <v>1.4</v>
      </c>
    </row>
    <row r="11" spans="1:10" x14ac:dyDescent="0.3">
      <c r="A11" s="1">
        <v>46153</v>
      </c>
      <c r="B11" t="s">
        <v>12</v>
      </c>
      <c r="C11">
        <v>7</v>
      </c>
      <c r="D11">
        <v>9</v>
      </c>
      <c r="E11">
        <v>9</v>
      </c>
      <c r="F11" s="2">
        <v>26000</v>
      </c>
      <c r="G11" s="5">
        <f t="shared" si="0"/>
        <v>77.777777777777786</v>
      </c>
      <c r="H11" s="3">
        <f t="shared" si="1"/>
        <v>3714.2857142857142</v>
      </c>
      <c r="I11" s="3">
        <f t="shared" si="2"/>
        <v>2888.8888888888887</v>
      </c>
      <c r="J11" s="4">
        <f t="shared" si="3"/>
        <v>1.2857142857142858</v>
      </c>
    </row>
    <row r="12" spans="1:10" x14ac:dyDescent="0.3">
      <c r="A12" s="1">
        <v>46154</v>
      </c>
      <c r="B12" t="s">
        <v>13</v>
      </c>
      <c r="C12">
        <v>13</v>
      </c>
      <c r="D12">
        <v>16</v>
      </c>
      <c r="E12">
        <v>19</v>
      </c>
      <c r="F12" s="2">
        <v>102660</v>
      </c>
      <c r="G12" s="5">
        <f t="shared" si="0"/>
        <v>81.25</v>
      </c>
      <c r="H12" s="3">
        <f t="shared" si="1"/>
        <v>7896.9230769230771</v>
      </c>
      <c r="I12" s="3">
        <f t="shared" si="2"/>
        <v>5403.1578947368425</v>
      </c>
      <c r="J12" s="4">
        <f t="shared" si="3"/>
        <v>1.4615384615384615</v>
      </c>
    </row>
    <row r="13" spans="1:10" x14ac:dyDescent="0.3">
      <c r="A13" s="1">
        <v>46155</v>
      </c>
      <c r="B13" t="s">
        <v>14</v>
      </c>
      <c r="C13">
        <v>8</v>
      </c>
      <c r="D13">
        <v>10</v>
      </c>
      <c r="E13">
        <v>19</v>
      </c>
      <c r="F13" s="2">
        <v>57920</v>
      </c>
      <c r="G13" s="5">
        <f t="shared" si="0"/>
        <v>80</v>
      </c>
      <c r="H13" s="3">
        <f t="shared" si="1"/>
        <v>7240</v>
      </c>
      <c r="I13" s="3">
        <f t="shared" si="2"/>
        <v>3048.4210526315787</v>
      </c>
      <c r="J13" s="4">
        <f t="shared" si="3"/>
        <v>2.375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Suyash Tripathi</dc:creator>
  <cp:lastModifiedBy>Suyash Tripathi</cp:lastModifiedBy>
  <dcterms:created xsi:type="dcterms:W3CDTF">2026-05-14T05:58:38Z</dcterms:created>
  <dcterms:modified xsi:type="dcterms:W3CDTF">2026-05-14T07:48:32Z</dcterms:modified>
</cp:coreProperties>
</file>